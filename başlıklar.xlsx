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nebio\Desktop\"/>
    </mc:Choice>
  </mc:AlternateContent>
  <bookViews>
    <workbookView xWindow="0" yWindow="0" windowWidth="20490" windowHeight="7770" activeTab="1"/>
  </bookViews>
  <sheets>
    <sheet name=" yoksa sadece belirli tarihlerd" sheetId="1" r:id="rId1"/>
    <sheet name="Sayfa1" sheetId="2" r:id="rId2"/>
    <sheet name="Sayfa2" sheetId="3" r:id="rId3"/>
  </sheets>
  <externalReferences>
    <externalReference r:id="rId4"/>
    <externalReference r:id="rId5"/>
  </externalReferences>
  <calcPr calcId="152511"/>
</workbook>
</file>

<file path=xl/calcChain.xml><?xml version="1.0" encoding="utf-8"?>
<calcChain xmlns="http://schemas.openxmlformats.org/spreadsheetml/2006/main">
  <c r="S33" i="2" l="1"/>
  <c r="S28" i="2"/>
  <c r="S29" i="2"/>
  <c r="S30" i="2"/>
  <c r="S27" i="2"/>
  <c r="S23" i="2"/>
  <c r="S24" i="2"/>
  <c r="S22" i="2"/>
  <c r="S8" i="2"/>
  <c r="S9" i="2"/>
  <c r="S10" i="2"/>
  <c r="S12" i="2"/>
  <c r="S13" i="2"/>
  <c r="S14" i="2"/>
  <c r="S15" i="2"/>
  <c r="S16" i="2"/>
  <c r="S17" i="2"/>
  <c r="S18" i="2"/>
  <c r="S19" i="2"/>
  <c r="P4" i="2"/>
  <c r="P3" i="2"/>
  <c r="A3" i="2"/>
  <c r="O15" i="2"/>
  <c r="O7" i="2"/>
  <c r="O10" i="2"/>
</calcChain>
</file>

<file path=xl/sharedStrings.xml><?xml version="1.0" encoding="utf-8"?>
<sst xmlns="http://schemas.openxmlformats.org/spreadsheetml/2006/main" count="191" uniqueCount="122">
  <si>
    <t>Parametre</t>
  </si>
  <si>
    <t>Metar Başlığı</t>
  </si>
  <si>
    <t>Sinoptik Başlığı</t>
  </si>
  <si>
    <t>Açıklama</t>
  </si>
  <si>
    <t>Zaman</t>
  </si>
  <si>
    <t>GMT</t>
  </si>
  <si>
    <t>Gözlem saati (Metar'da 11:50, Sinoptik'te 12.0'dır)</t>
  </si>
  <si>
    <t>Sıcaklık</t>
  </si>
  <si>
    <t>Kuru</t>
  </si>
  <si>
    <t>T</t>
  </si>
  <si>
    <t>Kuru termometre sıcaklığı (∘C)</t>
  </si>
  <si>
    <t>İşba (Çiğ Noktası)</t>
  </si>
  <si>
    <t>İşba</t>
  </si>
  <si>
    <t>Td</t>
  </si>
  <si>
    <t>Çiğ noktası sıcaklığı (∘C)</t>
  </si>
  <si>
    <t>Bağıl Nem</t>
  </si>
  <si>
    <t>%</t>
  </si>
  <si>
    <t>Rh</t>
  </si>
  <si>
    <t>Yüzde olarak nem oranı</t>
  </si>
  <si>
    <t>İstasyon Basıncı</t>
  </si>
  <si>
    <t>QFE</t>
  </si>
  <si>
    <t>3Po</t>
  </si>
  <si>
    <t>Yerel hava basıncı</t>
  </si>
  <si>
    <t>Deniz Seviyesi Basıncı</t>
  </si>
  <si>
    <t>QNH</t>
  </si>
  <si>
    <t>4P</t>
  </si>
  <si>
    <t>Deniz seviyesine indirgenmiş basınç</t>
  </si>
  <si>
    <t>Rüzgar Yönü</t>
  </si>
  <si>
    <t>Yön</t>
  </si>
  <si>
    <t>dd</t>
  </si>
  <si>
    <t>Derece cinsinden rüzgar yönü</t>
  </si>
  <si>
    <t>Rüzgar Hızı</t>
  </si>
  <si>
    <t>Hız</t>
  </si>
  <si>
    <t>ff</t>
  </si>
  <si>
    <t>Rüzgar hızı</t>
  </si>
  <si>
    <t>HAMLE</t>
  </si>
  <si>
    <t>Hamle</t>
  </si>
  <si>
    <t>max rüzgar</t>
  </si>
  <si>
    <t>rüyet</t>
  </si>
  <si>
    <t>Hakim</t>
  </si>
  <si>
    <t>VV</t>
  </si>
  <si>
    <t>görüş (METRE)</t>
  </si>
  <si>
    <t>Maksimum Rüzgar</t>
  </si>
  <si>
    <t>RRR</t>
  </si>
  <si>
    <t>HALİHAZIR HAVA</t>
  </si>
  <si>
    <t>1. Grup</t>
  </si>
  <si>
    <t>ww</t>
  </si>
  <si>
    <t>2. Grup</t>
  </si>
  <si>
    <t>3. Grup</t>
  </si>
  <si>
    <t xml:space="preserve">GEÇMİŞ HADİSE </t>
  </si>
  <si>
    <t>RE</t>
  </si>
  <si>
    <t>WW</t>
  </si>
  <si>
    <t>BULUT</t>
  </si>
  <si>
    <t>1.BULUT</t>
  </si>
  <si>
    <t xml:space="preserve">2. BULUT </t>
  </si>
  <si>
    <t>Bg1</t>
  </si>
  <si>
    <t>3.BULUT</t>
  </si>
  <si>
    <t>Bg2</t>
  </si>
  <si>
    <t>4.BULUT</t>
  </si>
  <si>
    <t>Bg3</t>
  </si>
  <si>
    <t>SİNOPTİK</t>
  </si>
  <si>
    <t>Salınım</t>
  </si>
  <si>
    <t>iR</t>
  </si>
  <si>
    <t>iX</t>
  </si>
  <si>
    <t>h</t>
  </si>
  <si>
    <t>Dikine</t>
  </si>
  <si>
    <t>N</t>
  </si>
  <si>
    <t>T. Kp.</t>
  </si>
  <si>
    <t>910</t>
  </si>
  <si>
    <t>911</t>
  </si>
  <si>
    <t>a</t>
  </si>
  <si>
    <t>ppp</t>
  </si>
  <si>
    <t>960</t>
  </si>
  <si>
    <t>Bulut</t>
  </si>
  <si>
    <t>Kap.</t>
  </si>
  <si>
    <t>Cins</t>
  </si>
  <si>
    <t>Yük.</t>
  </si>
  <si>
    <t>Bg4</t>
  </si>
  <si>
    <t>924</t>
  </si>
  <si>
    <t>931</t>
  </si>
  <si>
    <t>Rasatçı</t>
  </si>
  <si>
    <t>Rstçı</t>
  </si>
  <si>
    <t>P. No</t>
  </si>
  <si>
    <t>NM</t>
  </si>
  <si>
    <t>BASINÇ</t>
  </si>
  <si>
    <t>1. BULUT</t>
  </si>
  <si>
    <t>2. BULUT</t>
  </si>
  <si>
    <t>3. BULUT</t>
  </si>
  <si>
    <t>4. BULUT</t>
  </si>
  <si>
    <t>M</t>
  </si>
  <si>
    <t>S</t>
  </si>
  <si>
    <t>0050</t>
  </si>
  <si>
    <t>0150</t>
  </si>
  <si>
    <t>0250</t>
  </si>
  <si>
    <t>0350</t>
  </si>
  <si>
    <t>0442</t>
  </si>
  <si>
    <t>0450</t>
  </si>
  <si>
    <t>0528</t>
  </si>
  <si>
    <t>0539</t>
  </si>
  <si>
    <t>0550</t>
  </si>
  <si>
    <t>0615</t>
  </si>
  <si>
    <t>0650</t>
  </si>
  <si>
    <t>0750</t>
  </si>
  <si>
    <t>0850</t>
  </si>
  <si>
    <t>0950</t>
  </si>
  <si>
    <t>1050</t>
  </si>
  <si>
    <t>1150</t>
  </si>
  <si>
    <t>1250</t>
  </si>
  <si>
    <t>1350</t>
  </si>
  <si>
    <t>1450</t>
  </si>
  <si>
    <t>1550</t>
  </si>
  <si>
    <t>1650</t>
  </si>
  <si>
    <t>1750</t>
  </si>
  <si>
    <t>1850</t>
  </si>
  <si>
    <t>1950</t>
  </si>
  <si>
    <t>2050</t>
  </si>
  <si>
    <t>2150</t>
  </si>
  <si>
    <t>2250</t>
  </si>
  <si>
    <t>2350</t>
  </si>
  <si>
    <t>MetarTum(üst başlıkları)</t>
  </si>
  <si>
    <t>MetarTum(alt başlıkları)</t>
  </si>
  <si>
    <t>SinTum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</si>
</sst>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tarTu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inTum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 map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</sheetNames>
    <sheetDataSet>
      <sheetData sheetId="0"/>
      <sheetData sheetId="1">
        <row r="3">
          <cell r="C3" t="str">
            <v>RÜZGAR</v>
          </cell>
          <cell r="G3" t="str">
            <v>RÜYET</v>
          </cell>
          <cell r="AC3" t="str">
            <v>SICAKLIK</v>
          </cell>
        </row>
        <row r="5">
          <cell r="A5" t="str">
            <v>Tipi</v>
          </cell>
          <cell r="B5" t="str">
            <v>GMT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 (2)"/>
      <sheetName val="Document map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</sheetNames>
    <sheetDataSet>
      <sheetData sheetId="0"/>
      <sheetData sheetId="1"/>
      <sheetData sheetId="2">
        <row r="4">
          <cell r="A4" t="str">
            <v>Tarih: 01.12.2025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>
    <outlinePr summaryBelow="0" summaryRight="0"/>
  </sheetPr>
  <dimension ref="A1:D21"/>
  <sheetViews>
    <sheetView workbookViewId="0"/>
  </sheetViews>
  <sheetFormatPr defaultColWidth="12.5703125" defaultRowHeight="15.75" customHeight="1" x14ac:dyDescent="0.2"/>
  <cols>
    <col min="1" max="1" width="18" customWidth="1"/>
    <col min="2" max="2" width="14.85546875" customWidth="1"/>
    <col min="4" max="4" width="37.7109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5</v>
      </c>
      <c r="D2" s="1" t="s">
        <v>6</v>
      </c>
    </row>
    <row r="3" spans="1:4" x14ac:dyDescent="0.2">
      <c r="A3" s="1" t="s">
        <v>7</v>
      </c>
      <c r="B3" s="1" t="s">
        <v>8</v>
      </c>
      <c r="C3" s="1" t="s">
        <v>9</v>
      </c>
      <c r="D3" s="1" t="s">
        <v>10</v>
      </c>
    </row>
    <row r="4" spans="1:4" x14ac:dyDescent="0.2">
      <c r="A4" s="1" t="s">
        <v>11</v>
      </c>
      <c r="B4" s="1" t="s">
        <v>12</v>
      </c>
      <c r="C4" s="1" t="s">
        <v>13</v>
      </c>
      <c r="D4" s="1" t="s">
        <v>14</v>
      </c>
    </row>
    <row r="5" spans="1:4" x14ac:dyDescent="0.2">
      <c r="A5" s="1" t="s">
        <v>15</v>
      </c>
      <c r="B5" s="1" t="s">
        <v>16</v>
      </c>
      <c r="C5" s="1" t="s">
        <v>17</v>
      </c>
      <c r="D5" s="1" t="s">
        <v>18</v>
      </c>
    </row>
    <row r="6" spans="1:4" x14ac:dyDescent="0.2">
      <c r="A6" s="1" t="s">
        <v>19</v>
      </c>
      <c r="B6" s="1" t="s">
        <v>20</v>
      </c>
      <c r="C6" s="1" t="s">
        <v>21</v>
      </c>
      <c r="D6" s="1" t="s">
        <v>22</v>
      </c>
    </row>
    <row r="7" spans="1:4" x14ac:dyDescent="0.2">
      <c r="A7" s="1" t="s">
        <v>23</v>
      </c>
      <c r="B7" s="1" t="s">
        <v>24</v>
      </c>
      <c r="C7" s="1" t="s">
        <v>25</v>
      </c>
      <c r="D7" s="1" t="s">
        <v>26</v>
      </c>
    </row>
    <row r="8" spans="1:4" x14ac:dyDescent="0.2">
      <c r="A8" s="1" t="s">
        <v>27</v>
      </c>
      <c r="B8" s="1" t="s">
        <v>28</v>
      </c>
      <c r="C8" s="1" t="s">
        <v>29</v>
      </c>
      <c r="D8" s="1" t="s">
        <v>30</v>
      </c>
    </row>
    <row r="9" spans="1:4" x14ac:dyDescent="0.2">
      <c r="A9" s="1" t="s">
        <v>31</v>
      </c>
      <c r="B9" s="1" t="s">
        <v>32</v>
      </c>
      <c r="C9" s="1" t="s">
        <v>33</v>
      </c>
      <c r="D9" s="1" t="s">
        <v>34</v>
      </c>
    </row>
    <row r="10" spans="1:4" x14ac:dyDescent="0.2">
      <c r="A10" s="1" t="s">
        <v>35</v>
      </c>
      <c r="B10" s="1" t="s">
        <v>36</v>
      </c>
      <c r="C10" s="1">
        <v>910</v>
      </c>
      <c r="D10" s="1" t="s">
        <v>37</v>
      </c>
    </row>
    <row r="11" spans="1:4" x14ac:dyDescent="0.2">
      <c r="A11" s="1" t="s">
        <v>38</v>
      </c>
      <c r="B11" s="1" t="s">
        <v>39</v>
      </c>
      <c r="C11" s="1" t="s">
        <v>40</v>
      </c>
      <c r="D11" s="1" t="s">
        <v>41</v>
      </c>
    </row>
    <row r="12" spans="1:4" x14ac:dyDescent="0.2">
      <c r="A12" s="1" t="s">
        <v>42</v>
      </c>
      <c r="B12" s="1" t="s">
        <v>42</v>
      </c>
      <c r="C12" s="1">
        <v>911</v>
      </c>
    </row>
    <row r="13" spans="1:4" x14ac:dyDescent="0.2">
      <c r="C13" s="1" t="s">
        <v>43</v>
      </c>
    </row>
    <row r="14" spans="1:4" x14ac:dyDescent="0.2">
      <c r="A14" s="1" t="s">
        <v>44</v>
      </c>
      <c r="B14" s="1" t="s">
        <v>45</v>
      </c>
      <c r="C14" s="1" t="s">
        <v>46</v>
      </c>
    </row>
    <row r="15" spans="1:4" x14ac:dyDescent="0.2">
      <c r="A15" s="1"/>
      <c r="B15" s="1" t="s">
        <v>47</v>
      </c>
      <c r="C15" s="1">
        <v>960</v>
      </c>
    </row>
    <row r="16" spans="1:4" x14ac:dyDescent="0.2">
      <c r="A16" s="1"/>
      <c r="B16" s="1" t="s">
        <v>48</v>
      </c>
      <c r="C16" s="1"/>
    </row>
    <row r="17" spans="1:3" x14ac:dyDescent="0.2">
      <c r="A17" s="1" t="s">
        <v>49</v>
      </c>
      <c r="B17" s="1" t="s">
        <v>50</v>
      </c>
      <c r="C17" s="1" t="s">
        <v>51</v>
      </c>
    </row>
    <row r="18" spans="1:3" x14ac:dyDescent="0.2">
      <c r="A18" s="1" t="s">
        <v>52</v>
      </c>
      <c r="B18" s="1" t="s">
        <v>53</v>
      </c>
      <c r="C18" s="1" t="s">
        <v>52</v>
      </c>
    </row>
    <row r="19" spans="1:3" x14ac:dyDescent="0.2">
      <c r="B19" s="1" t="s">
        <v>54</v>
      </c>
      <c r="C19" s="1" t="s">
        <v>55</v>
      </c>
    </row>
    <row r="20" spans="1:3" x14ac:dyDescent="0.2">
      <c r="B20" s="1" t="s">
        <v>56</v>
      </c>
      <c r="C20" s="1" t="s">
        <v>57</v>
      </c>
    </row>
    <row r="21" spans="1:3" x14ac:dyDescent="0.2">
      <c r="B21" s="1" t="s">
        <v>58</v>
      </c>
      <c r="C21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:BF35"/>
  <sheetViews>
    <sheetView tabSelected="1" topLeftCell="A5" zoomScale="85" zoomScaleNormal="85" workbookViewId="0">
      <selection activeCell="O1" sqref="O1:S34"/>
    </sheetView>
  </sheetViews>
  <sheetFormatPr defaultRowHeight="12.75" x14ac:dyDescent="0.2"/>
  <cols>
    <col min="4" max="4" width="12.140625" style="3" customWidth="1"/>
    <col min="5" max="5" width="8.7109375" style="3" customWidth="1"/>
    <col min="15" max="15" width="19.28515625" bestFit="1" customWidth="1"/>
    <col min="16" max="16" width="18.7109375" bestFit="1" customWidth="1"/>
    <col min="17" max="17" width="4.7109375" bestFit="1" customWidth="1"/>
    <col min="18" max="18" width="4.85546875" bestFit="1" customWidth="1"/>
    <col min="19" max="19" width="18.7109375" customWidth="1"/>
  </cols>
  <sheetData>
    <row r="1" spans="1:58" x14ac:dyDescent="0.2">
      <c r="A1" t="s">
        <v>60</v>
      </c>
      <c r="O1" s="4" t="s">
        <v>119</v>
      </c>
      <c r="P1" s="5" t="s">
        <v>120</v>
      </c>
      <c r="Q1" s="5"/>
      <c r="R1" s="6"/>
      <c r="S1" s="14" t="s">
        <v>121</v>
      </c>
    </row>
    <row r="2" spans="1:58" x14ac:dyDescent="0.2">
      <c r="O2" s="7"/>
      <c r="P2" s="8"/>
      <c r="Q2" s="8"/>
      <c r="R2" s="9"/>
      <c r="S2" s="15"/>
    </row>
    <row r="3" spans="1:58" x14ac:dyDescent="0.2">
      <c r="A3" s="2" t="str">
        <f>[2]Sheet2!$A$4</f>
        <v>Tarih: 01.12.2025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7"/>
      <c r="P3" s="8" t="str">
        <f>[1]Sheet2!$A$5</f>
        <v>Tipi</v>
      </c>
      <c r="Q3" s="8"/>
      <c r="R3" s="9"/>
      <c r="S3" s="15"/>
      <c r="T3" t="s">
        <v>89</v>
      </c>
      <c r="V3" t="s">
        <v>89</v>
      </c>
      <c r="X3" t="s">
        <v>89</v>
      </c>
      <c r="Z3" t="s">
        <v>89</v>
      </c>
      <c r="AB3" t="s">
        <v>90</v>
      </c>
      <c r="AD3" t="s">
        <v>89</v>
      </c>
      <c r="AF3" t="s">
        <v>90</v>
      </c>
      <c r="AH3" t="s">
        <v>90</v>
      </c>
      <c r="AJ3" t="s">
        <v>89</v>
      </c>
      <c r="AL3" t="s">
        <v>90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89</v>
      </c>
      <c r="AY3" t="s">
        <v>89</v>
      </c>
      <c r="AZ3" t="s">
        <v>89</v>
      </c>
      <c r="BA3" t="s">
        <v>89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</row>
    <row r="4" spans="1:58" x14ac:dyDescent="0.2">
      <c r="A4" t="s">
        <v>5</v>
      </c>
      <c r="B4">
        <v>0</v>
      </c>
      <c r="C4">
        <v>3</v>
      </c>
      <c r="D4" s="3">
        <v>6</v>
      </c>
      <c r="E4" s="3">
        <v>9</v>
      </c>
      <c r="F4">
        <v>12</v>
      </c>
      <c r="G4">
        <v>15</v>
      </c>
      <c r="H4">
        <v>18</v>
      </c>
      <c r="I4">
        <v>21</v>
      </c>
      <c r="O4" s="7"/>
      <c r="P4" s="8" t="str">
        <f>[1]Sheet2!$B$5</f>
        <v>GMT</v>
      </c>
      <c r="Q4" s="8"/>
      <c r="R4" s="9"/>
      <c r="S4" s="15"/>
      <c r="T4" t="s">
        <v>91</v>
      </c>
      <c r="V4" t="s">
        <v>92</v>
      </c>
      <c r="X4" t="s">
        <v>93</v>
      </c>
      <c r="Z4" t="s">
        <v>94</v>
      </c>
      <c r="AB4" t="s">
        <v>95</v>
      </c>
      <c r="AD4" t="s">
        <v>96</v>
      </c>
      <c r="AF4" t="s">
        <v>97</v>
      </c>
      <c r="AH4" t="s">
        <v>98</v>
      </c>
      <c r="AJ4" t="s">
        <v>99</v>
      </c>
      <c r="AL4" t="s">
        <v>100</v>
      </c>
      <c r="AO4" t="s">
        <v>101</v>
      </c>
      <c r="AP4" t="s">
        <v>102</v>
      </c>
      <c r="AQ4" t="s">
        <v>103</v>
      </c>
      <c r="AR4" t="s">
        <v>104</v>
      </c>
      <c r="AS4" t="s">
        <v>105</v>
      </c>
      <c r="AT4" t="s">
        <v>106</v>
      </c>
      <c r="AU4" t="s">
        <v>107</v>
      </c>
      <c r="AV4" t="s">
        <v>108</v>
      </c>
      <c r="AW4" t="s">
        <v>109</v>
      </c>
      <c r="AX4" t="s">
        <v>110</v>
      </c>
      <c r="AY4" t="s">
        <v>111</v>
      </c>
      <c r="AZ4" t="s">
        <v>112</v>
      </c>
      <c r="BA4" t="s">
        <v>113</v>
      </c>
      <c r="BB4" t="s">
        <v>114</v>
      </c>
      <c r="BC4" t="s">
        <v>115</v>
      </c>
      <c r="BD4" t="s">
        <v>116</v>
      </c>
      <c r="BE4" t="s">
        <v>117</v>
      </c>
      <c r="BF4" t="s">
        <v>118</v>
      </c>
    </row>
    <row r="5" spans="1:58" x14ac:dyDescent="0.2">
      <c r="A5" t="s">
        <v>62</v>
      </c>
      <c r="O5" s="7"/>
      <c r="P5" s="8"/>
      <c r="Q5" s="8"/>
      <c r="R5" s="9"/>
      <c r="S5" s="15"/>
    </row>
    <row r="6" spans="1:58" x14ac:dyDescent="0.2">
      <c r="A6" t="s">
        <v>63</v>
      </c>
      <c r="O6" s="7"/>
      <c r="P6" s="8"/>
      <c r="Q6" s="8"/>
      <c r="R6" s="9"/>
      <c r="S6" s="15"/>
    </row>
    <row r="7" spans="1:58" x14ac:dyDescent="0.2">
      <c r="A7" t="s">
        <v>64</v>
      </c>
      <c r="O7" s="10" t="str">
        <f>[1]Sheet2!$G$3</f>
        <v>RÜYET</v>
      </c>
      <c r="P7" s="8" t="s">
        <v>65</v>
      </c>
      <c r="Q7" s="8"/>
      <c r="R7" s="9"/>
      <c r="S7" s="15"/>
    </row>
    <row r="8" spans="1:58" x14ac:dyDescent="0.2">
      <c r="A8" t="s">
        <v>40</v>
      </c>
      <c r="O8" s="10"/>
      <c r="P8" s="8" t="s">
        <v>39</v>
      </c>
      <c r="Q8" s="8"/>
      <c r="R8" s="9"/>
      <c r="S8" s="15" t="str">
        <f>A8</f>
        <v>VV</v>
      </c>
    </row>
    <row r="9" spans="1:58" x14ac:dyDescent="0.2">
      <c r="A9" t="s">
        <v>66</v>
      </c>
      <c r="O9" s="7" t="s">
        <v>66</v>
      </c>
      <c r="P9" s="8" t="s">
        <v>67</v>
      </c>
      <c r="Q9" s="8"/>
      <c r="R9" s="9"/>
      <c r="S9" s="15" t="str">
        <f>A9</f>
        <v>N</v>
      </c>
    </row>
    <row r="10" spans="1:58" x14ac:dyDescent="0.2">
      <c r="A10" t="s">
        <v>29</v>
      </c>
      <c r="O10" s="10" t="str">
        <f>[1]Sheet2!$C$3</f>
        <v>RÜZGAR</v>
      </c>
      <c r="P10" s="8" t="s">
        <v>28</v>
      </c>
      <c r="Q10" s="8"/>
      <c r="R10" s="9"/>
      <c r="S10" s="15" t="str">
        <f>A10</f>
        <v>dd</v>
      </c>
    </row>
    <row r="11" spans="1:58" x14ac:dyDescent="0.2">
      <c r="A11" t="s">
        <v>33</v>
      </c>
      <c r="O11" s="10"/>
      <c r="P11" s="8" t="s">
        <v>61</v>
      </c>
      <c r="Q11" s="8"/>
      <c r="R11" s="9"/>
      <c r="S11" s="15"/>
    </row>
    <row r="12" spans="1:58" x14ac:dyDescent="0.2">
      <c r="A12" t="s">
        <v>68</v>
      </c>
      <c r="O12" s="10"/>
      <c r="P12" s="8" t="s">
        <v>32</v>
      </c>
      <c r="Q12" s="8"/>
      <c r="R12" s="9"/>
      <c r="S12" s="15" t="str">
        <f>A11</f>
        <v>ff</v>
      </c>
    </row>
    <row r="13" spans="1:58" x14ac:dyDescent="0.2">
      <c r="A13" t="s">
        <v>69</v>
      </c>
      <c r="O13" s="10"/>
      <c r="P13" s="8" t="s">
        <v>42</v>
      </c>
      <c r="Q13" s="8"/>
      <c r="R13" s="9"/>
      <c r="S13" s="15" t="str">
        <f>A12</f>
        <v>910</v>
      </c>
    </row>
    <row r="14" spans="1:58" x14ac:dyDescent="0.2">
      <c r="A14" t="s">
        <v>9</v>
      </c>
      <c r="O14" s="10"/>
      <c r="P14" s="8" t="s">
        <v>36</v>
      </c>
      <c r="Q14" s="8"/>
      <c r="R14" s="9"/>
      <c r="S14" s="15" t="str">
        <f>A13</f>
        <v>911</v>
      </c>
    </row>
    <row r="15" spans="1:58" x14ac:dyDescent="0.2">
      <c r="A15" t="s">
        <v>13</v>
      </c>
      <c r="O15" s="10" t="str">
        <f>[1]Sheet2!$AC$3</f>
        <v>SICAKLIK</v>
      </c>
      <c r="P15" s="8" t="s">
        <v>8</v>
      </c>
      <c r="Q15" s="8"/>
      <c r="R15" s="9"/>
      <c r="S15" s="15" t="str">
        <f>A14</f>
        <v>T</v>
      </c>
    </row>
    <row r="16" spans="1:58" x14ac:dyDescent="0.2">
      <c r="A16" t="s">
        <v>17</v>
      </c>
      <c r="O16" s="10"/>
      <c r="P16" s="8" t="s">
        <v>12</v>
      </c>
      <c r="Q16" s="8"/>
      <c r="R16" s="9"/>
      <c r="S16" s="15" t="str">
        <f>A15</f>
        <v>Td</v>
      </c>
    </row>
    <row r="17" spans="1:19" x14ac:dyDescent="0.2">
      <c r="A17" t="s">
        <v>21</v>
      </c>
      <c r="O17" s="7" t="s">
        <v>83</v>
      </c>
      <c r="P17" s="8" t="s">
        <v>16</v>
      </c>
      <c r="Q17" s="8"/>
      <c r="R17" s="9"/>
      <c r="S17" s="15" t="str">
        <f>A16</f>
        <v>Rh</v>
      </c>
    </row>
    <row r="18" spans="1:19" x14ac:dyDescent="0.2">
      <c r="A18" t="s">
        <v>25</v>
      </c>
      <c r="O18" s="10" t="s">
        <v>84</v>
      </c>
      <c r="P18" s="8" t="s">
        <v>20</v>
      </c>
      <c r="Q18" s="8"/>
      <c r="R18" s="9"/>
      <c r="S18" s="15" t="str">
        <f>A17</f>
        <v>3Po</v>
      </c>
    </row>
    <row r="19" spans="1:19" x14ac:dyDescent="0.2">
      <c r="A19" t="s">
        <v>70</v>
      </c>
      <c r="O19" s="10"/>
      <c r="P19" s="8" t="s">
        <v>24</v>
      </c>
      <c r="Q19" s="8"/>
      <c r="R19" s="9"/>
      <c r="S19" s="15" t="str">
        <f>A18</f>
        <v>4P</v>
      </c>
    </row>
    <row r="20" spans="1:19" x14ac:dyDescent="0.2">
      <c r="A20" t="s">
        <v>71</v>
      </c>
      <c r="O20" s="7"/>
      <c r="P20" s="8"/>
      <c r="Q20" s="8"/>
      <c r="R20" s="9"/>
      <c r="S20" s="15"/>
    </row>
    <row r="21" spans="1:19" x14ac:dyDescent="0.2">
      <c r="A21" t="s">
        <v>43</v>
      </c>
      <c r="O21" s="7"/>
      <c r="P21" s="8"/>
      <c r="Q21" s="8"/>
      <c r="R21" s="9"/>
      <c r="S21" s="15"/>
    </row>
    <row r="22" spans="1:19" x14ac:dyDescent="0.2">
      <c r="A22" t="s">
        <v>46</v>
      </c>
      <c r="O22" s="10" t="s">
        <v>44</v>
      </c>
      <c r="P22" s="8" t="s">
        <v>45</v>
      </c>
      <c r="Q22" s="8"/>
      <c r="R22" s="9"/>
      <c r="S22" s="15" t="str">
        <f>A22</f>
        <v>ww</v>
      </c>
    </row>
    <row r="23" spans="1:19" x14ac:dyDescent="0.2">
      <c r="A23" t="s">
        <v>46</v>
      </c>
      <c r="O23" s="10"/>
      <c r="P23" s="8" t="s">
        <v>47</v>
      </c>
      <c r="Q23" s="8"/>
      <c r="R23" s="9"/>
      <c r="S23" s="15" t="str">
        <f>A23</f>
        <v>ww</v>
      </c>
    </row>
    <row r="24" spans="1:19" x14ac:dyDescent="0.2">
      <c r="A24" t="s">
        <v>72</v>
      </c>
      <c r="O24" s="10"/>
      <c r="P24" s="8" t="s">
        <v>48</v>
      </c>
      <c r="Q24" s="8"/>
      <c r="R24" s="9"/>
      <c r="S24" s="15" t="str">
        <f>A24</f>
        <v>960</v>
      </c>
    </row>
    <row r="25" spans="1:19" x14ac:dyDescent="0.2">
      <c r="A25" t="s">
        <v>51</v>
      </c>
      <c r="O25" s="7"/>
      <c r="P25" s="8"/>
      <c r="Q25" s="8"/>
      <c r="R25" s="9"/>
      <c r="S25" s="15"/>
    </row>
    <row r="26" spans="1:19" x14ac:dyDescent="0.2">
      <c r="A26" t="s">
        <v>73</v>
      </c>
      <c r="O26" s="7"/>
      <c r="P26" s="8"/>
      <c r="Q26" s="8"/>
      <c r="R26" s="9"/>
      <c r="S26" s="15"/>
    </row>
    <row r="27" spans="1:19" x14ac:dyDescent="0.2">
      <c r="A27" t="s">
        <v>55</v>
      </c>
      <c r="O27" s="7" t="s">
        <v>85</v>
      </c>
      <c r="P27" s="8" t="s">
        <v>74</v>
      </c>
      <c r="Q27" s="8" t="s">
        <v>75</v>
      </c>
      <c r="R27" s="9" t="s">
        <v>76</v>
      </c>
      <c r="S27" s="15" t="str">
        <f>A27</f>
        <v>Bg1</v>
      </c>
    </row>
    <row r="28" spans="1:19" x14ac:dyDescent="0.2">
      <c r="A28" t="s">
        <v>57</v>
      </c>
      <c r="O28" s="7" t="s">
        <v>86</v>
      </c>
      <c r="P28" s="8" t="s">
        <v>74</v>
      </c>
      <c r="Q28" s="8" t="s">
        <v>75</v>
      </c>
      <c r="R28" s="9" t="s">
        <v>76</v>
      </c>
      <c r="S28" s="15" t="str">
        <f>A28</f>
        <v>Bg2</v>
      </c>
    </row>
    <row r="29" spans="1:19" x14ac:dyDescent="0.2">
      <c r="A29" t="s">
        <v>59</v>
      </c>
      <c r="O29" s="7" t="s">
        <v>87</v>
      </c>
      <c r="P29" s="8" t="s">
        <v>74</v>
      </c>
      <c r="Q29" s="8" t="s">
        <v>75</v>
      </c>
      <c r="R29" s="9" t="s">
        <v>76</v>
      </c>
      <c r="S29" s="15" t="str">
        <f>A29</f>
        <v>Bg3</v>
      </c>
    </row>
    <row r="30" spans="1:19" x14ac:dyDescent="0.2">
      <c r="A30" t="s">
        <v>77</v>
      </c>
      <c r="O30" s="7" t="s">
        <v>88</v>
      </c>
      <c r="P30" s="8" t="s">
        <v>74</v>
      </c>
      <c r="Q30" s="8" t="s">
        <v>75</v>
      </c>
      <c r="R30" s="9" t="s">
        <v>76</v>
      </c>
      <c r="S30" s="15" t="str">
        <f>A30</f>
        <v>Bg4</v>
      </c>
    </row>
    <row r="31" spans="1:19" x14ac:dyDescent="0.2">
      <c r="A31" t="s">
        <v>78</v>
      </c>
      <c r="O31" s="7"/>
      <c r="P31" s="8"/>
      <c r="Q31" s="8"/>
      <c r="R31" s="9"/>
      <c r="S31" s="15"/>
    </row>
    <row r="32" spans="1:19" x14ac:dyDescent="0.2">
      <c r="A32" t="s">
        <v>79</v>
      </c>
      <c r="O32" s="7"/>
      <c r="P32" s="8"/>
      <c r="Q32" s="8"/>
      <c r="R32" s="9"/>
      <c r="S32" s="15"/>
    </row>
    <row r="33" spans="1:19" x14ac:dyDescent="0.2">
      <c r="A33" t="s">
        <v>80</v>
      </c>
      <c r="O33" s="7" t="s">
        <v>81</v>
      </c>
      <c r="P33" s="8"/>
      <c r="Q33" s="8"/>
      <c r="R33" s="9"/>
      <c r="S33" s="15" t="str">
        <f>A33</f>
        <v>Rasatçı</v>
      </c>
    </row>
    <row r="34" spans="1:19" ht="13.5" thickBot="1" x14ac:dyDescent="0.25">
      <c r="O34" s="11" t="s">
        <v>82</v>
      </c>
      <c r="P34" s="12"/>
      <c r="Q34" s="12"/>
      <c r="R34" s="13"/>
      <c r="S34" s="16"/>
    </row>
    <row r="35" spans="1:19" x14ac:dyDescent="0.2">
      <c r="P35" s="3"/>
      <c r="Q35" s="3"/>
      <c r="R35" s="3"/>
      <c r="S35" s="3"/>
    </row>
  </sheetData>
  <mergeCells count="6">
    <mergeCell ref="A3:N3"/>
    <mergeCell ref="O7:O8"/>
    <mergeCell ref="O10:O14"/>
    <mergeCell ref="O22:O24"/>
    <mergeCell ref="O15:O16"/>
    <mergeCell ref="O18:O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A1"/>
  <sheetViews>
    <sheetView workbookViewId="0">
      <selection activeCell="F28" sqref="F28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 yoksa sadece belirli tarihlerd</vt:lpstr>
      <vt:lpstr>Sayfa1</vt:lpstr>
      <vt:lpstr>Sayfa2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RAMAZAN NEBİOĞLU</cp:lastModifiedBy>
  <dcterms:modified xsi:type="dcterms:W3CDTF">2026-05-11T16:55:28Z</dcterms:modified>
</cp:coreProperties>
</file>